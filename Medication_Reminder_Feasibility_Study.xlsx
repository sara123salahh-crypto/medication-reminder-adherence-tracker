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072" tabRatio="500" activeTab="1"/>
  </bookViews>
  <sheets>
    <sheet name="Feasibility Summary" sheetId="1" r:id="rId1"/>
    <sheet name="Cost-Benefit Analysis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6" i="2" l="1"/>
  <c r="G46" i="2"/>
  <c r="F46" i="2"/>
  <c r="E46" i="2"/>
  <c r="D46" i="2"/>
  <c r="C46" i="2"/>
  <c r="C47" i="2" s="1"/>
  <c r="D39" i="2"/>
  <c r="D38" i="2"/>
  <c r="D37" i="2"/>
  <c r="E37" i="2" s="1"/>
  <c r="D34" i="2"/>
  <c r="D35" i="2" s="1"/>
  <c r="D36" i="2" s="1"/>
  <c r="D40" i="2" s="1"/>
  <c r="D30" i="2"/>
  <c r="D42" i="2" s="1"/>
  <c r="C30" i="2"/>
  <c r="C41" i="2" s="1"/>
  <c r="C43" i="2" s="1"/>
  <c r="E42" i="2" l="1"/>
  <c r="D43" i="2"/>
  <c r="D48" i="2" s="1"/>
  <c r="C48" i="2"/>
  <c r="C44" i="2"/>
  <c r="D44" i="2"/>
  <c r="D49" i="2" s="1"/>
  <c r="D47" i="2"/>
  <c r="E38" i="2"/>
  <c r="F37" i="2"/>
  <c r="E39" i="2"/>
  <c r="E34" i="2"/>
  <c r="F39" i="2" l="1"/>
  <c r="F38" i="2"/>
  <c r="G37" i="2"/>
  <c r="C49" i="2"/>
  <c r="C45" i="2"/>
  <c r="D45" i="2" s="1"/>
  <c r="E35" i="2"/>
  <c r="E36" i="2" s="1"/>
  <c r="E40" i="2" s="1"/>
  <c r="F34" i="2"/>
  <c r="E43" i="2"/>
  <c r="F42" i="2"/>
  <c r="E48" i="2" l="1"/>
  <c r="F43" i="2"/>
  <c r="F48" i="2" s="1"/>
  <c r="G42" i="2"/>
  <c r="F35" i="2"/>
  <c r="F36" i="2" s="1"/>
  <c r="F40" i="2" s="1"/>
  <c r="G34" i="2"/>
  <c r="E47" i="2"/>
  <c r="E44" i="2"/>
  <c r="E49" i="2" s="1"/>
  <c r="D50" i="2"/>
  <c r="E45" i="2"/>
  <c r="H37" i="2"/>
  <c r="G39" i="2"/>
  <c r="G38" i="2"/>
  <c r="E50" i="2" l="1"/>
  <c r="G35" i="2"/>
  <c r="G36" i="2" s="1"/>
  <c r="G40" i="2" s="1"/>
  <c r="H34" i="2"/>
  <c r="H35" i="2" s="1"/>
  <c r="H36" i="2" s="1"/>
  <c r="F47" i="2"/>
  <c r="F44" i="2"/>
  <c r="F49" i="2" s="1"/>
  <c r="G43" i="2"/>
  <c r="G48" i="2" s="1"/>
  <c r="C56" i="2" s="1"/>
  <c r="H42" i="2"/>
  <c r="H43" i="2" s="1"/>
  <c r="H48" i="2" s="1"/>
  <c r="H39" i="2"/>
  <c r="H38" i="2"/>
  <c r="C53" i="2" l="1"/>
  <c r="H40" i="2"/>
  <c r="G47" i="2"/>
  <c r="G44" i="2"/>
  <c r="G49" i="2" s="1"/>
  <c r="C54" i="2"/>
  <c r="F45" i="2"/>
  <c r="C57" i="2" l="1"/>
  <c r="G45" i="2"/>
  <c r="F50" i="2"/>
  <c r="H44" i="2"/>
  <c r="H49" i="2" s="1"/>
  <c r="H47" i="2"/>
  <c r="C55" i="2" s="1"/>
  <c r="C58" i="2" s="1"/>
  <c r="H45" i="2" l="1"/>
  <c r="H50" i="2" s="1"/>
  <c r="G50" i="2"/>
  <c r="C59" i="2" s="1"/>
  <c r="A68" i="2" s="1"/>
  <c r="C60" i="2"/>
  <c r="D6" i="1"/>
</calcChain>
</file>

<file path=xl/sharedStrings.xml><?xml version="1.0" encoding="utf-8"?>
<sst xmlns="http://schemas.openxmlformats.org/spreadsheetml/2006/main" count="129" uniqueCount="127">
  <si>
    <t>Feasibility Study – Medication Reminder &amp; Adherence Tracker</t>
  </si>
  <si>
    <t>Type</t>
  </si>
  <si>
    <t>Current Situation / Considerations</t>
  </si>
  <si>
    <t>Proposed Solution / Benefits</t>
  </si>
  <si>
    <t>Feasibility Result</t>
  </si>
  <si>
    <t>Technical</t>
  </si>
  <si>
    <t>Patients depend on memory, paper schedules or a generic phone alarm; there is no record of taken or missed doses and no way for caregivers or doctors to follow up.</t>
  </si>
  <si>
    <t>Cross-platform mobile app (Flutter / React Native) with scheduled local + push notifications, cloud database (Firebase or PostgreSQL), dose log, adherence reports, caregiver alerts and automatic cloud backup.</t>
  </si>
  <si>
    <t>✅ Technically feasible</t>
  </si>
  <si>
    <t>Operational</t>
  </si>
  <si>
    <t>Elderly and chronic-disease patients take several medicines at different times, so doses are missed or doubled; caregivers phone the patient to check; some older users may resist new technology.</t>
  </si>
  <si>
    <t>Simple large-text interface with one-tap Taken / Snooze / Skip; automatic adherence rate; caregiver notification when a dose is missed; weekly report the patient can show to the doctor; refill reminders.</t>
  </si>
  <si>
    <t>✅ Operationally feasible</t>
  </si>
  <si>
    <t>Economic</t>
  </si>
  <si>
    <t>Costs of development, cloud hosting, notification service, store fees, training and yearly maintenance (see the Cost-Benefit Analysis sheet).</t>
  </si>
  <si>
    <t>Income from premium subscriptions and clinic licenses, plus staff time savings and fewer complications; positive NPV and ROI over 5 years.</t>
  </si>
  <si>
    <t>Legal</t>
  </si>
  <si>
    <t>The app stores sensitive health data, so user consent, privacy and security rules must be respected (e.g., Egypt's Personal Data Protection Law No. 151 of 2020).</t>
  </si>
  <si>
    <t>Privacy policy and explicit consent screen, encrypted storage and transfer, user can export or delete data; the app only reminds and logs – it does not prescribe or change doses.</t>
  </si>
  <si>
    <t>✅ Legally feasible</t>
  </si>
  <si>
    <t>Schedule</t>
  </si>
  <si>
    <t>The project must be delivered within the academic term; there is no existing system, so everything is built from scratch.</t>
  </si>
  <si>
    <t>Estimated timeline about 4 months: planning 15% → analysis 20% → design 35% → implementation and testing 30%.</t>
  </si>
  <si>
    <t>✅ Achievable timeline</t>
  </si>
  <si>
    <t>Cost–Benefit Analysis – Medication Reminder &amp; Adherence Tracker</t>
  </si>
  <si>
    <t>Blue = editable input · Black = formula · Yellow = key assumption. All figures are estimates in USD (same currency as the template).</t>
  </si>
  <si>
    <t>A. Assumptions</t>
  </si>
  <si>
    <t>Assumption</t>
  </si>
  <si>
    <t>Notes / basis (estimate by the team – adjust as needed)</t>
  </si>
  <si>
    <t>Value</t>
  </si>
  <si>
    <t>Discount rate</t>
  </si>
  <si>
    <t>Required return used to discount future cash flows</t>
  </si>
  <si>
    <t>Year-1 registered users</t>
  </si>
  <si>
    <t>Patients + caregivers who install the app in the first year</t>
  </si>
  <si>
    <t>Annual user growth</t>
  </si>
  <si>
    <t>Growth in registered users each year</t>
  </si>
  <si>
    <t>Premium conversion rate</t>
  </si>
  <si>
    <t>Share of users who pay for the premium plan (free basic plan exists)</t>
  </si>
  <si>
    <t>Premium price per user / year</t>
  </si>
  <si>
    <t>Premium: caregiver alerts, doctor report export, unlimited medicines</t>
  </si>
  <si>
    <t>Clinics / pharmacies in Year 1</t>
  </si>
  <si>
    <t>Healthcare providers that license the doctor dashboard</t>
  </si>
  <si>
    <t>New clinics / pharmacies per year</t>
  </si>
  <si>
    <t>Expected new licenses each year</t>
  </si>
  <si>
    <t>License fee per clinic / year</t>
  </si>
  <si>
    <t>Annual fee for the doctor/pharmacist dashboard</t>
  </si>
  <si>
    <t>Staff hours saved per clinic / year</t>
  </si>
  <si>
    <t>Fewer follow-up calls and paper schedules</t>
  </si>
  <si>
    <t>Value of one staff hour</t>
  </si>
  <si>
    <t>Average cost of one hour of clinic staff time</t>
  </si>
  <si>
    <t>Annual growth of recurring costs</t>
  </si>
  <si>
    <t>Hosting/support grow with the number of users</t>
  </si>
  <si>
    <t>B. Costs</t>
  </si>
  <si>
    <t>Category</t>
  </si>
  <si>
    <t>Description</t>
  </si>
  <si>
    <t>One-time (Year 0)</t>
  </si>
  <si>
    <t>Annual (Year 1 base)</t>
  </si>
  <si>
    <t>App development</t>
  </si>
  <si>
    <t>Cross-platform mobile app (Android + iOS): reminders, dose log, reports</t>
  </si>
  <si>
    <t>UI/UX design</t>
  </si>
  <si>
    <t>Large-text, simple screens suitable for elderly users</t>
  </si>
  <si>
    <t>Backend &amp; database setup</t>
  </si>
  <si>
    <t>Server, database, notification service configuration</t>
  </si>
  <si>
    <t>Testing &amp; QA</t>
  </si>
  <si>
    <t>Functional, usability and notification-reliability testing</t>
  </si>
  <si>
    <t>Training &amp; onboarding</t>
  </si>
  <si>
    <t>User guide, short tutorial, staff training for clinics</t>
  </si>
  <si>
    <t>Cloud hosting &amp; database</t>
  </si>
  <si>
    <t>Hosting, storage and automatic backups</t>
  </si>
  <si>
    <t>SMS / push notification service</t>
  </si>
  <si>
    <t>Reminder and caregiver-alert delivery</t>
  </si>
  <si>
    <t>Maintenance &amp; updates</t>
  </si>
  <si>
    <t>Bug fixes, OS compatibility updates, new features</t>
  </si>
  <si>
    <t>User &amp; clinic support</t>
  </si>
  <si>
    <t>Part-time support / helpdesk</t>
  </si>
  <si>
    <t>App store fees</t>
  </si>
  <si>
    <t>Annual developer account fee</t>
  </si>
  <si>
    <t>Total</t>
  </si>
  <si>
    <t>C. Five-year cash flow</t>
  </si>
  <si>
    <t>Item</t>
  </si>
  <si>
    <t>Notes</t>
  </si>
  <si>
    <t>Registered users</t>
  </si>
  <si>
    <t>Year 1 users × (1 + growth)</t>
  </si>
  <si>
    <t>Premium subscribers</t>
  </si>
  <si>
    <t>Users × conversion rate</t>
  </si>
  <si>
    <t>Subscription revenue</t>
  </si>
  <si>
    <t>Subscribers × premium price</t>
  </si>
  <si>
    <t>Licensed clinics / pharmacies</t>
  </si>
  <si>
    <t>Previous year + new clinics</t>
  </si>
  <si>
    <t>Clinic license revenue</t>
  </si>
  <si>
    <t>Clinics × license fee</t>
  </si>
  <si>
    <t>Staff time savings</t>
  </si>
  <si>
    <t>Clinics × hours saved × hourly value</t>
  </si>
  <si>
    <t>Total tangible benefits</t>
  </si>
  <si>
    <t>Subscriptions + licenses + savings</t>
  </si>
  <si>
    <t>Development costs (one-time)</t>
  </si>
  <si>
    <t>From table B</t>
  </si>
  <si>
    <t>Recurring costs</t>
  </si>
  <si>
    <t>Annual costs grown by the cost-growth rate</t>
  </si>
  <si>
    <t>Total costs</t>
  </si>
  <si>
    <t>Development + recurring</t>
  </si>
  <si>
    <t>Net cash flow</t>
  </si>
  <si>
    <t>Benefits – costs</t>
  </si>
  <si>
    <t>Cumulative cash flow</t>
  </si>
  <si>
    <t>Running total of net cash flow</t>
  </si>
  <si>
    <t>Discount factor</t>
  </si>
  <si>
    <t>1 / (1 + discount rate) ^ year</t>
  </si>
  <si>
    <t>PV of benefits</t>
  </si>
  <si>
    <t>Benefits × discount factor</t>
  </si>
  <si>
    <t>PV of costs</t>
  </si>
  <si>
    <t>Costs × discount factor</t>
  </si>
  <si>
    <t>PV of net cash flow</t>
  </si>
  <si>
    <t>Net cash flow × discount factor</t>
  </si>
  <si>
    <t>Payback helper</t>
  </si>
  <si>
    <t>Year in which cumulative cash flow first reaches 0 (interpolated)</t>
  </si>
  <si>
    <t>D. Summary (feasibility indicators)</t>
  </si>
  <si>
    <t>Total costs over 5 years (undiscounted)</t>
  </si>
  <si>
    <t>Total benefits over 5 years (undiscounted)</t>
  </si>
  <si>
    <t>NPV (net present value)</t>
  </si>
  <si>
    <t>ROI = (PV benefits – PV costs) / PV costs</t>
  </si>
  <si>
    <t>Payback period (years)</t>
  </si>
  <si>
    <t>Decision</t>
  </si>
  <si>
    <t>Intangible benefits (not included in the numbers)</t>
  </si>
  <si>
    <t>1- Better treatment adherence and health outcomes for patients</t>
  </si>
  <si>
    <t>2- Peace of mind for caregivers and family members</t>
  </si>
  <si>
    <t>3- More accurate adherence data for doctors during follow-up visits</t>
  </si>
  <si>
    <t>4- Fewer medication errors (missed or double doses)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</si>
</sst>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;\(0.0%\);\-"/>
    <numFmt numFmtId="165" formatCode="\$#,##0;&quot;($&quot;#,##0\);\-"/>
    <numFmt numFmtId="166" formatCode="&quot;Year &quot;0"/>
    <numFmt numFmtId="167" formatCode="0.000"/>
    <numFmt numFmtId="168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i/>
      <sz val="10"/>
      <name val="Arial"/>
      <charset val="1"/>
    </font>
    <font>
      <sz val="11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6" fillId="4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rightToLeft="1" zoomScaleNormal="100" workbookViewId="0"/>
  </sheetViews>
  <sheetFormatPr defaultColWidth="8.6640625" defaultRowHeight="14.4" x14ac:dyDescent="0.3"/>
  <cols>
    <col min="1" max="1" width="16" customWidth="1"/>
    <col min="2" max="2" width="62" customWidth="1"/>
    <col min="3" max="3" width="66" customWidth="1"/>
    <col min="4" max="4" width="30" customWidth="1"/>
  </cols>
  <sheetData>
    <row r="1" spans="1:4" ht="17.399999999999999" x14ac:dyDescent="0.3">
      <c r="A1" s="4" t="s">
        <v>0</v>
      </c>
    </row>
    <row r="3" spans="1:4" ht="21.75" customHeight="1" x14ac:dyDescent="0.3">
      <c r="A3" s="5" t="s">
        <v>1</v>
      </c>
      <c r="B3" s="5" t="s">
        <v>2</v>
      </c>
      <c r="C3" s="5" t="s">
        <v>3</v>
      </c>
      <c r="D3" s="5" t="s">
        <v>4</v>
      </c>
    </row>
    <row r="4" spans="1:4" ht="78" customHeight="1" x14ac:dyDescent="0.3">
      <c r="A4" s="6" t="s">
        <v>5</v>
      </c>
      <c r="B4" s="7" t="s">
        <v>6</v>
      </c>
      <c r="C4" s="7" t="s">
        <v>7</v>
      </c>
      <c r="D4" s="7" t="s">
        <v>8</v>
      </c>
    </row>
    <row r="5" spans="1:4" ht="78" customHeight="1" x14ac:dyDescent="0.3">
      <c r="A5" s="6" t="s">
        <v>9</v>
      </c>
      <c r="B5" s="7" t="s">
        <v>10</v>
      </c>
      <c r="C5" s="7" t="s">
        <v>11</v>
      </c>
      <c r="D5" s="7" t="s">
        <v>12</v>
      </c>
    </row>
    <row r="6" spans="1:4" ht="78" customHeight="1" x14ac:dyDescent="0.3">
      <c r="A6" s="6" t="s">
        <v>13</v>
      </c>
      <c r="B6" s="7" t="s">
        <v>14</v>
      </c>
      <c r="C6" s="7" t="s">
        <v>15</v>
      </c>
      <c r="D6" s="7" t="str">
        <f>IF('Cost-Benefit Analysis'!C57&gt;0,"✅ Cost-effective (NPV &gt; 0)","❌ Not cost-effective")</f>
        <v>✅ Cost-effective (NPV &gt; 0)</v>
      </c>
    </row>
    <row r="7" spans="1:4" ht="78" customHeight="1" x14ac:dyDescent="0.3">
      <c r="A7" s="6" t="s">
        <v>16</v>
      </c>
      <c r="B7" s="7" t="s">
        <v>17</v>
      </c>
      <c r="C7" s="7" t="s">
        <v>18</v>
      </c>
      <c r="D7" s="7" t="s">
        <v>19</v>
      </c>
    </row>
    <row r="8" spans="1:4" ht="78" customHeight="1" x14ac:dyDescent="0.3">
      <c r="A8" s="6" t="s">
        <v>20</v>
      </c>
      <c r="B8" s="7" t="s">
        <v>21</v>
      </c>
      <c r="C8" s="7" t="s">
        <v>22</v>
      </c>
      <c r="D8" s="7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rightToLeft="1" tabSelected="1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6" customWidth="1"/>
    <col min="2" max="2" width="58" customWidth="1"/>
    <col min="3" max="8" width="15" customWidth="1"/>
  </cols>
  <sheetData>
    <row r="1" spans="1:3" ht="17.399999999999999" x14ac:dyDescent="0.3">
      <c r="A1" s="4" t="s">
        <v>24</v>
      </c>
    </row>
    <row r="2" spans="1:3" x14ac:dyDescent="0.3">
      <c r="A2" s="8" t="s">
        <v>25</v>
      </c>
    </row>
    <row r="4" spans="1:3" x14ac:dyDescent="0.3">
      <c r="A4" s="9" t="s">
        <v>26</v>
      </c>
      <c r="B4" s="10"/>
      <c r="C4" s="10"/>
    </row>
    <row r="5" spans="1:3" x14ac:dyDescent="0.3">
      <c r="A5" s="5" t="s">
        <v>27</v>
      </c>
      <c r="B5" s="5" t="s">
        <v>28</v>
      </c>
      <c r="C5" s="5" t="s">
        <v>29</v>
      </c>
    </row>
    <row r="6" spans="1:3" x14ac:dyDescent="0.3">
      <c r="A6" s="11" t="s">
        <v>30</v>
      </c>
      <c r="B6" s="7" t="s">
        <v>31</v>
      </c>
      <c r="C6" s="12">
        <v>0.1</v>
      </c>
    </row>
    <row r="7" spans="1:3" x14ac:dyDescent="0.3">
      <c r="A7" s="11" t="s">
        <v>32</v>
      </c>
      <c r="B7" s="7" t="s">
        <v>33</v>
      </c>
      <c r="C7" s="13">
        <v>1500</v>
      </c>
    </row>
    <row r="8" spans="1:3" x14ac:dyDescent="0.3">
      <c r="A8" s="11" t="s">
        <v>34</v>
      </c>
      <c r="B8" s="7" t="s">
        <v>35</v>
      </c>
      <c r="C8" s="14">
        <v>0.4</v>
      </c>
    </row>
    <row r="9" spans="1:3" ht="27.6" x14ac:dyDescent="0.3">
      <c r="A9" s="11" t="s">
        <v>36</v>
      </c>
      <c r="B9" s="7" t="s">
        <v>37</v>
      </c>
      <c r="C9" s="12">
        <v>0.06</v>
      </c>
    </row>
    <row r="10" spans="1:3" ht="27.6" x14ac:dyDescent="0.3">
      <c r="A10" s="11" t="s">
        <v>38</v>
      </c>
      <c r="B10" s="7" t="s">
        <v>39</v>
      </c>
      <c r="C10" s="15">
        <v>24</v>
      </c>
    </row>
    <row r="11" spans="1:3" x14ac:dyDescent="0.3">
      <c r="A11" s="11" t="s">
        <v>40</v>
      </c>
      <c r="B11" s="7" t="s">
        <v>41</v>
      </c>
      <c r="C11" s="16">
        <v>3</v>
      </c>
    </row>
    <row r="12" spans="1:3" x14ac:dyDescent="0.3">
      <c r="A12" s="11" t="s">
        <v>42</v>
      </c>
      <c r="B12" s="7" t="s">
        <v>43</v>
      </c>
      <c r="C12" s="16">
        <v>2</v>
      </c>
    </row>
    <row r="13" spans="1:3" x14ac:dyDescent="0.3">
      <c r="A13" s="11" t="s">
        <v>44</v>
      </c>
      <c r="B13" s="7" t="s">
        <v>45</v>
      </c>
      <c r="C13" s="15">
        <v>600</v>
      </c>
    </row>
    <row r="14" spans="1:3" x14ac:dyDescent="0.3">
      <c r="A14" s="11" t="s">
        <v>46</v>
      </c>
      <c r="B14" s="7" t="s">
        <v>47</v>
      </c>
      <c r="C14" s="16">
        <v>150</v>
      </c>
    </row>
    <row r="15" spans="1:3" x14ac:dyDescent="0.3">
      <c r="A15" s="11" t="s">
        <v>48</v>
      </c>
      <c r="B15" s="7" t="s">
        <v>49</v>
      </c>
      <c r="C15" s="15">
        <v>4</v>
      </c>
    </row>
    <row r="16" spans="1:3" x14ac:dyDescent="0.3">
      <c r="A16" s="11" t="s">
        <v>50</v>
      </c>
      <c r="B16" s="7" t="s">
        <v>51</v>
      </c>
      <c r="C16" s="14">
        <v>0.05</v>
      </c>
    </row>
    <row r="18" spans="1:8" x14ac:dyDescent="0.3">
      <c r="A18" s="9" t="s">
        <v>52</v>
      </c>
      <c r="B18" s="10"/>
      <c r="C18" s="10"/>
      <c r="D18" s="10"/>
    </row>
    <row r="19" spans="1:8" ht="27.6" x14ac:dyDescent="0.3">
      <c r="A19" s="5" t="s">
        <v>53</v>
      </c>
      <c r="B19" s="5" t="s">
        <v>54</v>
      </c>
      <c r="C19" s="5" t="s">
        <v>55</v>
      </c>
      <c r="D19" s="5" t="s">
        <v>56</v>
      </c>
    </row>
    <row r="20" spans="1:8" ht="27.6" x14ac:dyDescent="0.3">
      <c r="A20" s="11" t="s">
        <v>57</v>
      </c>
      <c r="B20" s="7" t="s">
        <v>58</v>
      </c>
      <c r="C20" s="15">
        <v>6000</v>
      </c>
      <c r="D20" s="15">
        <v>0</v>
      </c>
    </row>
    <row r="21" spans="1:8" x14ac:dyDescent="0.3">
      <c r="A21" s="11" t="s">
        <v>59</v>
      </c>
      <c r="B21" s="7" t="s">
        <v>60</v>
      </c>
      <c r="C21" s="15">
        <v>800</v>
      </c>
      <c r="D21" s="15">
        <v>0</v>
      </c>
    </row>
    <row r="22" spans="1:8" x14ac:dyDescent="0.3">
      <c r="A22" s="11" t="s">
        <v>61</v>
      </c>
      <c r="B22" s="7" t="s">
        <v>62</v>
      </c>
      <c r="C22" s="15">
        <v>700</v>
      </c>
      <c r="D22" s="15">
        <v>0</v>
      </c>
    </row>
    <row r="23" spans="1:8" x14ac:dyDescent="0.3">
      <c r="A23" s="11" t="s">
        <v>63</v>
      </c>
      <c r="B23" s="7" t="s">
        <v>64</v>
      </c>
      <c r="C23" s="15">
        <v>600</v>
      </c>
      <c r="D23" s="15">
        <v>0</v>
      </c>
    </row>
    <row r="24" spans="1:8" x14ac:dyDescent="0.3">
      <c r="A24" s="11" t="s">
        <v>65</v>
      </c>
      <c r="B24" s="7" t="s">
        <v>66</v>
      </c>
      <c r="C24" s="15">
        <v>500</v>
      </c>
      <c r="D24" s="15">
        <v>0</v>
      </c>
    </row>
    <row r="25" spans="1:8" x14ac:dyDescent="0.3">
      <c r="A25" s="11" t="s">
        <v>67</v>
      </c>
      <c r="B25" s="7" t="s">
        <v>68</v>
      </c>
      <c r="C25" s="15">
        <v>0</v>
      </c>
      <c r="D25" s="15">
        <v>600</v>
      </c>
    </row>
    <row r="26" spans="1:8" x14ac:dyDescent="0.3">
      <c r="A26" s="11" t="s">
        <v>69</v>
      </c>
      <c r="B26" s="7" t="s">
        <v>70</v>
      </c>
      <c r="C26" s="15">
        <v>0</v>
      </c>
      <c r="D26" s="15">
        <v>480</v>
      </c>
    </row>
    <row r="27" spans="1:8" x14ac:dyDescent="0.3">
      <c r="A27" s="11" t="s">
        <v>71</v>
      </c>
      <c r="B27" s="7" t="s">
        <v>72</v>
      </c>
      <c r="C27" s="15">
        <v>0</v>
      </c>
      <c r="D27" s="15">
        <v>1500</v>
      </c>
    </row>
    <row r="28" spans="1:8" x14ac:dyDescent="0.3">
      <c r="A28" s="11" t="s">
        <v>73</v>
      </c>
      <c r="B28" s="7" t="s">
        <v>74</v>
      </c>
      <c r="C28" s="15">
        <v>0</v>
      </c>
      <c r="D28" s="15">
        <v>900</v>
      </c>
    </row>
    <row r="29" spans="1:8" x14ac:dyDescent="0.3">
      <c r="A29" s="11" t="s">
        <v>75</v>
      </c>
      <c r="B29" s="7" t="s">
        <v>76</v>
      </c>
      <c r="C29" s="15">
        <v>0</v>
      </c>
      <c r="D29" s="15">
        <v>99</v>
      </c>
    </row>
    <row r="30" spans="1:8" x14ac:dyDescent="0.3">
      <c r="A30" s="17" t="s">
        <v>77</v>
      </c>
      <c r="B30" s="18"/>
      <c r="C30" s="19">
        <f>SUM(C20:C29)</f>
        <v>8600</v>
      </c>
      <c r="D30" s="19">
        <f>SUM(D20:D29)</f>
        <v>3579</v>
      </c>
    </row>
    <row r="32" spans="1:8" x14ac:dyDescent="0.3">
      <c r="A32" s="9" t="s">
        <v>78</v>
      </c>
      <c r="B32" s="10"/>
      <c r="C32" s="10"/>
      <c r="D32" s="10"/>
      <c r="E32" s="10"/>
      <c r="F32" s="10"/>
      <c r="G32" s="10"/>
      <c r="H32" s="10"/>
    </row>
    <row r="33" spans="1:8" x14ac:dyDescent="0.3">
      <c r="A33" s="5" t="s">
        <v>79</v>
      </c>
      <c r="B33" s="5" t="s">
        <v>80</v>
      </c>
      <c r="C33" s="20">
        <v>0</v>
      </c>
      <c r="D33" s="20">
        <v>1</v>
      </c>
      <c r="E33" s="20">
        <v>2</v>
      </c>
      <c r="F33" s="20">
        <v>3</v>
      </c>
      <c r="G33" s="20">
        <v>4</v>
      </c>
      <c r="H33" s="20">
        <v>5</v>
      </c>
    </row>
    <row r="34" spans="1:8" x14ac:dyDescent="0.3">
      <c r="A34" s="11" t="s">
        <v>81</v>
      </c>
      <c r="B34" s="7" t="s">
        <v>82</v>
      </c>
      <c r="C34" s="21">
        <v>0</v>
      </c>
      <c r="D34" s="21">
        <f>$C$7</f>
        <v>1500</v>
      </c>
      <c r="E34" s="21">
        <f>D34*(1+$C$8)</f>
        <v>2100</v>
      </c>
      <c r="F34" s="21">
        <f>E34*(1+$C$8)</f>
        <v>2940</v>
      </c>
      <c r="G34" s="21">
        <f>F34*(1+$C$8)</f>
        <v>4116</v>
      </c>
      <c r="H34" s="21">
        <f>G34*(1+$C$8)</f>
        <v>5762.4</v>
      </c>
    </row>
    <row r="35" spans="1:8" x14ac:dyDescent="0.3">
      <c r="A35" s="11" t="s">
        <v>83</v>
      </c>
      <c r="B35" s="7" t="s">
        <v>84</v>
      </c>
      <c r="C35" s="21">
        <v>0</v>
      </c>
      <c r="D35" s="21">
        <f>D34*$C$9</f>
        <v>90</v>
      </c>
      <c r="E35" s="21">
        <f>E34*$C$9</f>
        <v>126</v>
      </c>
      <c r="F35" s="21">
        <f>F34*$C$9</f>
        <v>176.4</v>
      </c>
      <c r="G35" s="21">
        <f>G34*$C$9</f>
        <v>246.95999999999998</v>
      </c>
      <c r="H35" s="21">
        <f>H34*$C$9</f>
        <v>345.74399999999997</v>
      </c>
    </row>
    <row r="36" spans="1:8" x14ac:dyDescent="0.3">
      <c r="A36" s="11" t="s">
        <v>85</v>
      </c>
      <c r="B36" s="7" t="s">
        <v>86</v>
      </c>
      <c r="C36" s="22">
        <v>0</v>
      </c>
      <c r="D36" s="22">
        <f>D35*$C$10</f>
        <v>2160</v>
      </c>
      <c r="E36" s="22">
        <f>E35*$C$10</f>
        <v>3024</v>
      </c>
      <c r="F36" s="22">
        <f>F35*$C$10</f>
        <v>4233.6000000000004</v>
      </c>
      <c r="G36" s="22">
        <f>G35*$C$10</f>
        <v>5927.0399999999991</v>
      </c>
      <c r="H36" s="22">
        <f>H35*$C$10</f>
        <v>8297.8559999999998</v>
      </c>
    </row>
    <row r="37" spans="1:8" x14ac:dyDescent="0.3">
      <c r="A37" s="11" t="s">
        <v>87</v>
      </c>
      <c r="B37" s="7" t="s">
        <v>88</v>
      </c>
      <c r="C37" s="21">
        <v>0</v>
      </c>
      <c r="D37" s="21">
        <f>$C$11</f>
        <v>3</v>
      </c>
      <c r="E37" s="21">
        <f>D37+$C$12</f>
        <v>5</v>
      </c>
      <c r="F37" s="21">
        <f>E37+$C$12</f>
        <v>7</v>
      </c>
      <c r="G37" s="21">
        <f>F37+$C$12</f>
        <v>9</v>
      </c>
      <c r="H37" s="21">
        <f>G37+$C$12</f>
        <v>11</v>
      </c>
    </row>
    <row r="38" spans="1:8" x14ac:dyDescent="0.3">
      <c r="A38" s="11" t="s">
        <v>89</v>
      </c>
      <c r="B38" s="7" t="s">
        <v>90</v>
      </c>
      <c r="C38" s="22">
        <v>0</v>
      </c>
      <c r="D38" s="22">
        <f>D37*$C$13</f>
        <v>1800</v>
      </c>
      <c r="E38" s="22">
        <f>E37*$C$13</f>
        <v>3000</v>
      </c>
      <c r="F38" s="22">
        <f>F37*$C$13</f>
        <v>4200</v>
      </c>
      <c r="G38" s="22">
        <f>G37*$C$13</f>
        <v>5400</v>
      </c>
      <c r="H38" s="22">
        <f>H37*$C$13</f>
        <v>6600</v>
      </c>
    </row>
    <row r="39" spans="1:8" x14ac:dyDescent="0.3">
      <c r="A39" s="11" t="s">
        <v>91</v>
      </c>
      <c r="B39" s="7" t="s">
        <v>92</v>
      </c>
      <c r="C39" s="22">
        <v>0</v>
      </c>
      <c r="D39" s="22">
        <f>D37*$C$14*$C$15</f>
        <v>1800</v>
      </c>
      <c r="E39" s="22">
        <f>E37*$C$14*$C$15</f>
        <v>3000</v>
      </c>
      <c r="F39" s="22">
        <f>F37*$C$14*$C$15</f>
        <v>4200</v>
      </c>
      <c r="G39" s="22">
        <f>G37*$C$14*$C$15</f>
        <v>5400</v>
      </c>
      <c r="H39" s="22">
        <f>H37*$C$14*$C$15</f>
        <v>6600</v>
      </c>
    </row>
    <row r="40" spans="1:8" x14ac:dyDescent="0.3">
      <c r="A40" s="17" t="s">
        <v>93</v>
      </c>
      <c r="B40" s="23" t="s">
        <v>94</v>
      </c>
      <c r="C40" s="19">
        <v>0</v>
      </c>
      <c r="D40" s="19">
        <f>D36+D38+D39</f>
        <v>5760</v>
      </c>
      <c r="E40" s="19">
        <f>E36+E38+E39</f>
        <v>9024</v>
      </c>
      <c r="F40" s="19">
        <f>F36+F38+F39</f>
        <v>12633.6</v>
      </c>
      <c r="G40" s="19">
        <f>G36+G38+G39</f>
        <v>16727.04</v>
      </c>
      <c r="H40" s="19">
        <f>H36+H38+H39</f>
        <v>21497.856</v>
      </c>
    </row>
    <row r="41" spans="1:8" x14ac:dyDescent="0.3">
      <c r="A41" s="11" t="s">
        <v>95</v>
      </c>
      <c r="B41" s="7" t="s">
        <v>96</v>
      </c>
      <c r="C41" s="22">
        <f>$C$30</f>
        <v>8600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</row>
    <row r="42" spans="1:8" x14ac:dyDescent="0.3">
      <c r="A42" s="11" t="s">
        <v>97</v>
      </c>
      <c r="B42" s="7" t="s">
        <v>98</v>
      </c>
      <c r="C42" s="22">
        <v>0</v>
      </c>
      <c r="D42" s="22">
        <f>$D$30</f>
        <v>3579</v>
      </c>
      <c r="E42" s="22">
        <f>D42*(1+$C$16)</f>
        <v>3757.9500000000003</v>
      </c>
      <c r="F42" s="22">
        <f>E42*(1+$C$16)</f>
        <v>3945.8475000000003</v>
      </c>
      <c r="G42" s="22">
        <f>F42*(1+$C$16)</f>
        <v>4143.1398750000008</v>
      </c>
      <c r="H42" s="22">
        <f>G42*(1+$C$16)</f>
        <v>4350.2968687500006</v>
      </c>
    </row>
    <row r="43" spans="1:8" x14ac:dyDescent="0.3">
      <c r="A43" s="17" t="s">
        <v>99</v>
      </c>
      <c r="B43" s="23" t="s">
        <v>100</v>
      </c>
      <c r="C43" s="19">
        <f t="shared" ref="C43:H43" si="0">C41+C42</f>
        <v>8600</v>
      </c>
      <c r="D43" s="19">
        <f t="shared" si="0"/>
        <v>3579</v>
      </c>
      <c r="E43" s="19">
        <f t="shared" si="0"/>
        <v>3757.9500000000003</v>
      </c>
      <c r="F43" s="19">
        <f t="shared" si="0"/>
        <v>3945.8475000000003</v>
      </c>
      <c r="G43" s="19">
        <f t="shared" si="0"/>
        <v>4143.1398750000008</v>
      </c>
      <c r="H43" s="19">
        <f t="shared" si="0"/>
        <v>4350.2968687500006</v>
      </c>
    </row>
    <row r="44" spans="1:8" x14ac:dyDescent="0.3">
      <c r="A44" s="24" t="s">
        <v>101</v>
      </c>
      <c r="B44" s="7" t="s">
        <v>102</v>
      </c>
      <c r="C44" s="25">
        <f t="shared" ref="C44:H44" si="1">C40-C43</f>
        <v>-8600</v>
      </c>
      <c r="D44" s="25">
        <f t="shared" si="1"/>
        <v>2181</v>
      </c>
      <c r="E44" s="25">
        <f t="shared" si="1"/>
        <v>5266.0499999999993</v>
      </c>
      <c r="F44" s="25">
        <f t="shared" si="1"/>
        <v>8687.7525000000005</v>
      </c>
      <c r="G44" s="25">
        <f t="shared" si="1"/>
        <v>12583.900125</v>
      </c>
      <c r="H44" s="25">
        <f t="shared" si="1"/>
        <v>17147.55913125</v>
      </c>
    </row>
    <row r="45" spans="1:8" x14ac:dyDescent="0.3">
      <c r="A45" s="11" t="s">
        <v>103</v>
      </c>
      <c r="B45" s="7" t="s">
        <v>104</v>
      </c>
      <c r="C45" s="22">
        <f>C44</f>
        <v>-8600</v>
      </c>
      <c r="D45" s="22">
        <f>C45+D44</f>
        <v>-6419</v>
      </c>
      <c r="E45" s="22">
        <f>D45+E44</f>
        <v>-1152.9500000000007</v>
      </c>
      <c r="F45" s="22">
        <f>E45+F44</f>
        <v>7534.8024999999998</v>
      </c>
      <c r="G45" s="22">
        <f>F45+G44</f>
        <v>20118.702624999998</v>
      </c>
      <c r="H45" s="22">
        <f>G45+H44</f>
        <v>37266.261756249995</v>
      </c>
    </row>
    <row r="46" spans="1:8" x14ac:dyDescent="0.3">
      <c r="A46" s="11" t="s">
        <v>105</v>
      </c>
      <c r="B46" s="7" t="s">
        <v>106</v>
      </c>
      <c r="C46" s="26">
        <f t="shared" ref="C46:H46" si="2">1/(1+$C$6)^C$33</f>
        <v>1</v>
      </c>
      <c r="D46" s="26">
        <f t="shared" si="2"/>
        <v>0.90909090909090906</v>
      </c>
      <c r="E46" s="26">
        <f t="shared" si="2"/>
        <v>0.82644628099173545</v>
      </c>
      <c r="F46" s="26">
        <f t="shared" si="2"/>
        <v>0.75131480090157754</v>
      </c>
      <c r="G46" s="26">
        <f t="shared" si="2"/>
        <v>0.68301345536507052</v>
      </c>
      <c r="H46" s="26">
        <f t="shared" si="2"/>
        <v>0.62092132305915493</v>
      </c>
    </row>
    <row r="47" spans="1:8" x14ac:dyDescent="0.3">
      <c r="A47" s="11" t="s">
        <v>107</v>
      </c>
      <c r="B47" s="7" t="s">
        <v>108</v>
      </c>
      <c r="C47" s="22">
        <f t="shared" ref="C47:H47" si="3">C40*C46</f>
        <v>0</v>
      </c>
      <c r="D47" s="22">
        <f t="shared" si="3"/>
        <v>5236.363636363636</v>
      </c>
      <c r="E47" s="22">
        <f t="shared" si="3"/>
        <v>7457.8512396694205</v>
      </c>
      <c r="F47" s="22">
        <f t="shared" si="3"/>
        <v>9491.8106686701703</v>
      </c>
      <c r="G47" s="22">
        <f t="shared" si="3"/>
        <v>11424.793388429749</v>
      </c>
      <c r="H47" s="22">
        <f t="shared" si="3"/>
        <v>13348.477190455193</v>
      </c>
    </row>
    <row r="48" spans="1:8" x14ac:dyDescent="0.3">
      <c r="A48" s="11" t="s">
        <v>109</v>
      </c>
      <c r="B48" s="7" t="s">
        <v>110</v>
      </c>
      <c r="C48" s="22">
        <f t="shared" ref="C48:H48" si="4">C43*C46</f>
        <v>8600</v>
      </c>
      <c r="D48" s="22">
        <f t="shared" si="4"/>
        <v>3253.6363636363635</v>
      </c>
      <c r="E48" s="22">
        <f t="shared" si="4"/>
        <v>3105.7438016528927</v>
      </c>
      <c r="F48" s="22">
        <f t="shared" si="4"/>
        <v>2964.5736288504877</v>
      </c>
      <c r="G48" s="22">
        <f t="shared" si="4"/>
        <v>2829.8202820845568</v>
      </c>
      <c r="H48" s="22">
        <f t="shared" si="4"/>
        <v>2701.1920874443495</v>
      </c>
    </row>
    <row r="49" spans="1:8" x14ac:dyDescent="0.3">
      <c r="A49" s="11" t="s">
        <v>111</v>
      </c>
      <c r="B49" s="7" t="s">
        <v>112</v>
      </c>
      <c r="C49" s="22">
        <f t="shared" ref="C49:H49" si="5">C44*C46</f>
        <v>-8600</v>
      </c>
      <c r="D49" s="22">
        <f t="shared" si="5"/>
        <v>1982.7272727272727</v>
      </c>
      <c r="E49" s="22">
        <f t="shared" si="5"/>
        <v>4352.1074380165282</v>
      </c>
      <c r="F49" s="22">
        <f t="shared" si="5"/>
        <v>6527.2370398196826</v>
      </c>
      <c r="G49" s="22">
        <f t="shared" si="5"/>
        <v>8594.9731063451927</v>
      </c>
      <c r="H49" s="22">
        <f t="shared" si="5"/>
        <v>10647.285103010843</v>
      </c>
    </row>
    <row r="50" spans="1:8" ht="27.6" x14ac:dyDescent="0.3">
      <c r="A50" s="11" t="s">
        <v>113</v>
      </c>
      <c r="B50" s="7" t="s">
        <v>114</v>
      </c>
      <c r="C50" s="11"/>
      <c r="D50" s="27" t="str">
        <f>IF(AND(D45&gt;=0,C45&lt;0),0+(-C45)/D44,"")</f>
        <v/>
      </c>
      <c r="E50" s="27" t="str">
        <f>IF(AND(E45&gt;=0,D45&lt;0),1+(-D45)/E44,"")</f>
        <v/>
      </c>
      <c r="F50" s="27">
        <f>IF(AND(F45&gt;=0,E45&lt;0),2+(-E45)/F44,"")</f>
        <v>2.1327098118874819</v>
      </c>
      <c r="G50" s="27" t="str">
        <f>IF(AND(G45&gt;=0,F45&lt;0),3+(-F45)/G44,"")</f>
        <v/>
      </c>
      <c r="H50" s="27" t="str">
        <f>IF(AND(H45&gt;=0,G45&lt;0),4+(-G45)/H44,"")</f>
        <v/>
      </c>
    </row>
    <row r="52" spans="1:8" x14ac:dyDescent="0.3">
      <c r="A52" s="9" t="s">
        <v>115</v>
      </c>
      <c r="B52" s="10"/>
      <c r="C52" s="10"/>
    </row>
    <row r="53" spans="1:8" x14ac:dyDescent="0.3">
      <c r="A53" s="11" t="s">
        <v>116</v>
      </c>
      <c r="B53" s="11"/>
      <c r="C53" s="22">
        <f>SUM(C43:H43)</f>
        <v>28376.234243750001</v>
      </c>
    </row>
    <row r="54" spans="1:8" x14ac:dyDescent="0.3">
      <c r="A54" s="11" t="s">
        <v>117</v>
      </c>
      <c r="B54" s="11"/>
      <c r="C54" s="22">
        <f>SUM(C40:H40)</f>
        <v>65642.495999999999</v>
      </c>
    </row>
    <row r="55" spans="1:8" x14ac:dyDescent="0.3">
      <c r="A55" s="11" t="s">
        <v>107</v>
      </c>
      <c r="B55" s="11"/>
      <c r="C55" s="22">
        <f>SUM(C47:H47)</f>
        <v>46959.296123588167</v>
      </c>
    </row>
    <row r="56" spans="1:8" x14ac:dyDescent="0.3">
      <c r="A56" s="11" t="s">
        <v>109</v>
      </c>
      <c r="B56" s="11"/>
      <c r="C56" s="22">
        <f>SUM(C48:H48)</f>
        <v>23454.966163668651</v>
      </c>
    </row>
    <row r="57" spans="1:8" x14ac:dyDescent="0.3">
      <c r="A57" s="24" t="s">
        <v>118</v>
      </c>
      <c r="B57" s="11"/>
      <c r="C57" s="25">
        <f>SUM(C49:H49)</f>
        <v>23504.32995991952</v>
      </c>
    </row>
    <row r="58" spans="1:8" x14ac:dyDescent="0.3">
      <c r="A58" s="24" t="s">
        <v>119</v>
      </c>
      <c r="B58" s="11"/>
      <c r="C58" s="28">
        <f>IF(C56=0,0,(C55-C56)/C56)</f>
        <v>1.0021046202286716</v>
      </c>
    </row>
    <row r="59" spans="1:8" x14ac:dyDescent="0.3">
      <c r="A59" s="24" t="s">
        <v>120</v>
      </c>
      <c r="B59" s="11"/>
      <c r="C59" s="29">
        <f>IF(COUNT(D50:H50)=0,"&gt; 5 years",MIN(D50:H50))</f>
        <v>2.1327098118874819</v>
      </c>
    </row>
    <row r="60" spans="1:8" x14ac:dyDescent="0.3">
      <c r="A60" s="24" t="s">
        <v>121</v>
      </c>
      <c r="B60" s="11"/>
      <c r="C60" s="3" t="str">
        <f>IF(AND(C57&gt;0,C58&gt;0),"Economically feasible","Not feasible – revise assumptions")</f>
        <v>Economically feasible</v>
      </c>
      <c r="D60" s="3"/>
      <c r="E60" s="3"/>
    </row>
    <row r="62" spans="1:8" x14ac:dyDescent="0.3">
      <c r="A62" s="9" t="s">
        <v>122</v>
      </c>
      <c r="B62" s="10"/>
    </row>
    <row r="63" spans="1:8" x14ac:dyDescent="0.3">
      <c r="A63" s="2" t="s">
        <v>123</v>
      </c>
      <c r="B63" s="2"/>
    </row>
    <row r="64" spans="1:8" x14ac:dyDescent="0.3">
      <c r="A64" s="2" t="s">
        <v>124</v>
      </c>
      <c r="B64" s="2"/>
    </row>
    <row r="65" spans="1:8" x14ac:dyDescent="0.3">
      <c r="A65" s="2" t="s">
        <v>125</v>
      </c>
      <c r="B65" s="2"/>
    </row>
    <row r="66" spans="1:8" x14ac:dyDescent="0.3">
      <c r="A66" s="2" t="s">
        <v>126</v>
      </c>
      <c r="B66" s="2"/>
    </row>
    <row r="68" spans="1:8" ht="31.5" customHeight="1" x14ac:dyDescent="0.3">
      <c r="A68" s="1" t="str">
        <f>"Conclusion: With NPV = "&amp;TEXT(C57,"$#,##0")&amp;", ROI = "&amp;TEXT(C58,"0%")&amp;" and payback in "&amp;IF(ISNUMBER(C59),TEXT(C59,"0.0")&amp;" years","more than 5 years")&amp;", the project is "&amp;IF(C60="Economically feasible","economically feasible.","not economically feasible under the current assumptions.")</f>
        <v>Conclusion: With NPV = $23,504, ROI = 100% and payback in 2.1 years, the project is economically feasible.</v>
      </c>
      <c r="B68" s="1"/>
      <c r="C68" s="1"/>
      <c r="D68" s="1"/>
      <c r="E68" s="1"/>
      <c r="F68" s="1"/>
      <c r="G68" s="1"/>
      <c r="H68" s="1"/>
    </row>
  </sheetData>
  <mergeCells count="6">
    <mergeCell ref="A68:H68"/>
    <mergeCell ref="C60:E60"/>
    <mergeCell ref="A63:B63"/>
    <mergeCell ref="A64:B64"/>
    <mergeCell ref="A65:B65"/>
    <mergeCell ref="A66:B6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Feasibility Summary</vt:lpstr>
      <vt:lpstr>Cost-Benefit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2026-10-04T17:47:00Z</dcterms:created>
  <dcterms:modified xsi:type="dcterms:W3CDTF">2026-10-04T18:07:22Z</dcterms:modified>
  <dc:language>en-US</dc:language>
</cp:coreProperties>
</file>